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39c13e60bb2422/Área de Trabalho/Projetos/AdventureWorks-Financial-Performance/budget/"/>
    </mc:Choice>
  </mc:AlternateContent>
  <xr:revisionPtr revIDLastSave="1" documentId="8_{BAECC0F8-C8C6-4983-A11F-E5EFB54C73A0}" xr6:coauthVersionLast="47" xr6:coauthVersionMax="47" xr10:uidLastSave="{89FF05EE-C329-4B66-83BB-503FE17D55A0}"/>
  <bookViews>
    <workbookView xWindow="-28920" yWindow="465" windowWidth="29040" windowHeight="15720" xr2:uid="{690D889A-0199-438E-A352-C6ED0662EB72}"/>
  </bookViews>
  <sheets>
    <sheet name="Receita_2013_Jan_Ju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2" i="1"/>
  <c r="F7" i="1"/>
  <c r="H7" i="1" s="1"/>
  <c r="F6" i="1"/>
  <c r="F5" i="1"/>
  <c r="H5" i="1" s="1"/>
  <c r="F4" i="1"/>
  <c r="F3" i="1"/>
  <c r="H3" i="1" s="1"/>
  <c r="F2" i="1"/>
  <c r="G3" i="1"/>
  <c r="G4" i="1"/>
  <c r="G5" i="1"/>
  <c r="G6" i="1"/>
  <c r="G7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Otavio Andre</author>
  </authors>
  <commentList>
    <comment ref="E1" authorId="0" shapeId="0" xr:uid="{C981D02A-B2A3-40F2-8E51-0969E54BAA46}">
      <text>
        <r>
          <rPr>
            <b/>
            <sz val="9"/>
            <color indexed="81"/>
            <rFont val="Segoe UI"/>
            <family val="2"/>
          </rPr>
          <t>Otavio Andre:</t>
        </r>
        <r>
          <rPr>
            <sz val="9"/>
            <color indexed="81"/>
            <rFont val="Segoe UI"/>
            <family val="2"/>
          </rPr>
          <t xml:space="preserve">
https://www.ibge.gov.br/brasil_em_sintese/tabelas/ipca.htm</t>
        </r>
      </text>
    </comment>
  </commentList>
</comments>
</file>

<file path=xl/sharedStrings.xml><?xml version="1.0" encoding="utf-8"?>
<sst xmlns="http://schemas.openxmlformats.org/spreadsheetml/2006/main" count="8" uniqueCount="8">
  <si>
    <t>Ano</t>
  </si>
  <si>
    <t>Receita</t>
  </si>
  <si>
    <t>Mes</t>
  </si>
  <si>
    <t>Budget14</t>
  </si>
  <si>
    <t>DataBudget</t>
  </si>
  <si>
    <t>IPCA_Premissa</t>
  </si>
  <si>
    <t>CrescNominal</t>
  </si>
  <si>
    <t>MetaCrescReal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</si>
</sst>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1" applyFont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43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4">
    <dxf>
      <numFmt numFmtId="35" formatCode="_-* #,##0.00_-;\-* #,##0.00_-;_-* &quot;-&quot;??_-;_-@_-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E7B76-BD43-4E89-BD2E-0768B5AF008A}" name="Tabela1" displayName="Tabela1" ref="A1:H7" totalsRowShown="0">
  <autoFilter ref="A1:H7" xr:uid="{B85E7B76-BD43-4E89-BD2E-0768B5AF008A}"/>
  <tableColumns count="8">
    <tableColumn id="1" xr3:uid="{3D6CD03D-F8FD-4935-B1B2-036E0D424281}" name="Ano"/>
    <tableColumn id="2" xr3:uid="{001991DB-E7D3-4E63-B1C5-D8464B233D36}" name="Mes"/>
    <tableColumn id="3" xr3:uid="{BB6D2091-EDAD-46E6-8FC5-D3D6B719C2CB}" name="Receita" dataDxfId="3" dataCellStyle="Vírgula"/>
    <tableColumn id="4" xr3:uid="{BCA78708-F062-4F35-8E28-1C7D4EA4406A}" name="MetaCrescReal"/>
    <tableColumn id="5" xr3:uid="{BF95B82E-7DB3-41A3-A34A-688C345C2177}" name="IPCA_Premissa" dataDxfId="2"/>
    <tableColumn id="8" xr3:uid="{561EEEED-1034-45E3-ADF2-9BBEC229E960}" name="CrescNominal" dataDxfId="1">
      <calculatedColumnFormula>(1+Tabela1[[#This Row],[MetaCrescReal]])*(1+Tabela1[[#This Row],[IPCA_Premissa]])-1</calculatedColumnFormula>
    </tableColumn>
    <tableColumn id="7" xr3:uid="{1F606A75-C234-41E0-99EF-E47D4C73C881}" name="DataBudget">
      <calculatedColumnFormula>DATE(2014,Tabela1[[#This Row],[Mes]],1)</calculatedColumnFormula>
    </tableColumn>
    <tableColumn id="6" xr3:uid="{BFDE23FF-5D0F-4FF9-BFF6-DBA9C78D3D87}" name="Budget14" dataDxfId="0">
      <calculatedColumnFormula>Tabela1[[#This Row],[Receita]]*(1+Tabela1[[#This Row],[CrescNominal]])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6054-DEDC-4257-8EFB-55ADCFC81E72}">
  <dimension ref="A1:H7"/>
  <sheetViews>
    <sheetView tabSelected="1" workbookViewId="0">
      <selection activeCell="E1" sqref="E1"/>
    </sheetView>
  </sheetViews>
  <sheetFormatPr defaultColWidth="14.42578125" defaultRowHeight="15" x14ac:dyDescent="0.25"/>
  <sheetData>
    <row r="1" spans="1:8" x14ac:dyDescent="0.25">
      <c r="A1" t="s">
        <v>0</v>
      </c>
      <c r="B1" t="s">
        <v>2</v>
      </c>
      <c r="C1" t="s">
        <v>1</v>
      </c>
      <c r="D1" t="s">
        <v>7</v>
      </c>
      <c r="E1" t="s">
        <v>5</v>
      </c>
      <c r="F1" t="s">
        <v>6</v>
      </c>
      <c r="G1" t="s">
        <v>4</v>
      </c>
      <c r="H1" t="s">
        <v>3</v>
      </c>
    </row>
    <row r="2" spans="1:8" x14ac:dyDescent="0.25">
      <c r="A2">
        <v>2013</v>
      </c>
      <c r="B2">
        <v>1</v>
      </c>
      <c r="C2" s="1">
        <v>2087872.4625039999</v>
      </c>
      <c r="D2" s="4">
        <v>0.05</v>
      </c>
      <c r="E2" s="3">
        <v>5.91E-2</v>
      </c>
      <c r="F2" s="3">
        <f>(1+Tabela1[[#This Row],[MetaCrescReal]])*(1+Tabela1[[#This Row],[IPCA_Premissa]])-1</f>
        <v>0.11205500000000002</v>
      </c>
      <c r="G2" s="2">
        <f>DATE(2014,Tabela1[[#This Row],[Mes]],1)</f>
        <v>41640</v>
      </c>
      <c r="H2" s="5">
        <f>Tabela1[[#This Row],[Receita]]*(1+Tabela1[[#This Row],[CrescNominal]])</f>
        <v>2321829.0112898857</v>
      </c>
    </row>
    <row r="3" spans="1:8" x14ac:dyDescent="0.25">
      <c r="A3">
        <v>2013</v>
      </c>
      <c r="B3">
        <v>2</v>
      </c>
      <c r="C3" s="1">
        <v>2316922.15148</v>
      </c>
      <c r="D3" s="4">
        <v>0.05</v>
      </c>
      <c r="E3" s="3">
        <v>5.91E-2</v>
      </c>
      <c r="F3" s="3">
        <f>(1+Tabela1[[#This Row],[MetaCrescReal]])*(1+Tabela1[[#This Row],[IPCA_Premissa]])-1</f>
        <v>0.11205500000000002</v>
      </c>
      <c r="G3" s="2">
        <f>DATE(2014,Tabela1[[#This Row],[Mes]],1)</f>
        <v>41671</v>
      </c>
      <c r="H3" s="5">
        <f>Tabela1[[#This Row],[Receita]]*(1+Tabela1[[#This Row],[CrescNominal]])</f>
        <v>2576544.8631640915</v>
      </c>
    </row>
    <row r="4" spans="1:8" x14ac:dyDescent="0.25">
      <c r="A4">
        <v>2013</v>
      </c>
      <c r="B4">
        <v>3</v>
      </c>
      <c r="C4" s="1">
        <v>3412068.9675349998</v>
      </c>
      <c r="D4" s="4">
        <v>0.05</v>
      </c>
      <c r="E4" s="3">
        <v>5.91E-2</v>
      </c>
      <c r="F4" s="3">
        <f>(1+Tabela1[[#This Row],[MetaCrescReal]])*(1+Tabela1[[#This Row],[IPCA_Premissa]])-1</f>
        <v>0.11205500000000002</v>
      </c>
      <c r="G4" s="2">
        <f>DATE(2014,Tabela1[[#This Row],[Mes]],1)</f>
        <v>41699</v>
      </c>
      <c r="H4" s="5">
        <f>Tabela1[[#This Row],[Receita]]*(1+Tabela1[[#This Row],[CrescNominal]])</f>
        <v>3794408.3556921342</v>
      </c>
    </row>
    <row r="5" spans="1:8" x14ac:dyDescent="0.25">
      <c r="A5">
        <v>2013</v>
      </c>
      <c r="B5">
        <v>4</v>
      </c>
      <c r="C5" s="1">
        <v>2532265.912399</v>
      </c>
      <c r="D5" s="4">
        <v>0.05</v>
      </c>
      <c r="E5" s="3">
        <v>5.91E-2</v>
      </c>
      <c r="F5" s="3">
        <f>(1+Tabela1[[#This Row],[MetaCrescReal]])*(1+Tabela1[[#This Row],[IPCA_Premissa]])-1</f>
        <v>0.11205500000000002</v>
      </c>
      <c r="G5" s="2">
        <f>DATE(2014,Tabela1[[#This Row],[Mes]],1)</f>
        <v>41730</v>
      </c>
      <c r="H5" s="5">
        <f>Tabela1[[#This Row],[Receita]]*(1+Tabela1[[#This Row],[CrescNominal]])</f>
        <v>2816018.9692128701</v>
      </c>
    </row>
    <row r="6" spans="1:8" x14ac:dyDescent="0.25">
      <c r="A6">
        <v>2013</v>
      </c>
      <c r="B6">
        <v>5</v>
      </c>
      <c r="C6" s="1">
        <v>3245623.7544789999</v>
      </c>
      <c r="D6" s="4">
        <v>0.05</v>
      </c>
      <c r="E6" s="3">
        <v>5.91E-2</v>
      </c>
      <c r="F6" s="3">
        <f>(1+Tabela1[[#This Row],[MetaCrescReal]])*(1+Tabela1[[#This Row],[IPCA_Premissa]])-1</f>
        <v>0.11205500000000002</v>
      </c>
      <c r="G6" s="2">
        <f>DATE(2014,Tabela1[[#This Row],[Mes]],1)</f>
        <v>41760</v>
      </c>
      <c r="H6" s="5">
        <f>Tabela1[[#This Row],[Receita]]*(1+Tabela1[[#This Row],[CrescNominal]])</f>
        <v>3609312.1242871443</v>
      </c>
    </row>
    <row r="7" spans="1:8" x14ac:dyDescent="0.25">
      <c r="A7">
        <v>2013</v>
      </c>
      <c r="B7">
        <v>6</v>
      </c>
      <c r="C7" s="1">
        <v>5081069.1315959999</v>
      </c>
      <c r="D7" s="4">
        <v>0.05</v>
      </c>
      <c r="E7" s="3">
        <v>5.91E-2</v>
      </c>
      <c r="F7" s="3">
        <f>(1+Tabela1[[#This Row],[MetaCrescReal]])*(1+Tabela1[[#This Row],[IPCA_Premissa]])-1</f>
        <v>0.11205500000000002</v>
      </c>
      <c r="G7" s="2">
        <f>DATE(2014,Tabela1[[#This Row],[Mes]],1)</f>
        <v>41791</v>
      </c>
      <c r="H7" s="5">
        <f>Tabela1[[#This Row],[Receita]]*(1+Tabela1[[#This Row],[CrescNominal]])</f>
        <v>5650428.3331369897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Receita_2013_Jan_Jun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Sotenos Andre</dc:creator>
  <cp:lastModifiedBy>Otavio Sotenos Andre</cp:lastModifiedBy>
  <dcterms:created xsi:type="dcterms:W3CDTF">2026-10-14T21:14:50Z</dcterms:created>
  <dcterms:modified xsi:type="dcterms:W3CDTF">2026-10-22T12:16:43Z</dcterms:modified>
</cp:coreProperties>
</file>